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gister" sheetId="2" state="visible" r:id="rId4"/>
    <sheet name="Phase 1 - Sprint" sheetId="3" state="visible" r:id="rId5"/>
    <sheet name="Phase 2 - 90-day MVP" sheetId="4" state="visible" r:id="rId6"/>
    <sheet name="Phase 3 - Post-MVP" sheetId="5" state="visible" r:id="rId7"/>
  </sheets>
  <definedNames>
    <definedName function="false" hidden="true" localSheetId="2" name="_xlnm._FilterDatabase" vbProcedure="false">'Phase 1 - Sprint'!$A$3:$F$14</definedName>
    <definedName function="false" hidden="true" localSheetId="3" name="_xlnm._FilterDatabase" vbProcedure="false">'Phase 2 - 90-day MVP'!$A$3:$F$14</definedName>
    <definedName function="false" hidden="true" localSheetId="4" name="_xlnm._FilterDatabase" vbProcedure="false">'Phase 3 - Post-MVP'!$A$3:$F$9</definedName>
    <definedName function="false" hidden="true" localSheetId="1" name="_xlnm._FilterDatabase" vbProcedure="false">Register!$A$1:$M$29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<sst xmlns="http://schemas.openxmlformats.org/spreadsheetml/2006/main" count="479" uniqueCount="196">
  <si>
    <t xml:space="preserve">MIRA Tech Debt Audit - 2026-04-25 - Summary</t>
  </si>
  <si>
    <t xml:space="preserve">Total findings: 28 - Code: 7, Architecture: 20, Doc-Architecture: 1</t>
  </si>
  <si>
    <t xml:space="preserve">By severity</t>
  </si>
  <si>
    <t xml:space="preserve">By phase</t>
  </si>
  <si>
    <t xml:space="preserve">Severity</t>
  </si>
  <si>
    <t xml:space="preserve">Count</t>
  </si>
  <si>
    <t xml:space="preserve">Phase</t>
  </si>
  <si>
    <t xml:space="preserve">Critical</t>
  </si>
  <si>
    <t xml:space="preserve">Phase 1 - Sprint</t>
  </si>
  <si>
    <t xml:space="preserve">High</t>
  </si>
  <si>
    <t xml:space="preserve">Phase 2 - 90-day MVP</t>
  </si>
  <si>
    <t xml:space="preserve">Medium</t>
  </si>
  <si>
    <t xml:space="preserve">Phase 3 - Post-MVP</t>
  </si>
  <si>
    <t xml:space="preserve">Low</t>
  </si>
  <si>
    <t xml:space="preserve">By effort size</t>
  </si>
  <si>
    <t xml:space="preserve">Effort</t>
  </si>
  <si>
    <t xml:space="preserve">Meaning</t>
  </si>
  <si>
    <t xml:space="preserve">S</t>
  </si>
  <si>
    <t xml:space="preserve">&lt;= 1 day</t>
  </si>
  <si>
    <t xml:space="preserve">M</t>
  </si>
  <si>
    <t xml:space="preserve">1-3 days</t>
  </si>
  <si>
    <t xml:space="preserve">L</t>
  </si>
  <si>
    <t xml:space="preserve">1-2 weeks</t>
  </si>
  <si>
    <t xml:space="preserve">XL</t>
  </si>
  <si>
    <t xml:space="preserve">sprint+</t>
  </si>
  <si>
    <t xml:space="preserve">Top 5 by score (foundation-first sequencing applied)</t>
  </si>
  <si>
    <t xml:space="preserve">ID</t>
  </si>
  <si>
    <t xml:space="preserve">Title</t>
  </si>
  <si>
    <t xml:space="preserve">Score</t>
  </si>
  <si>
    <t xml:space="preserve">DBT-010</t>
  </si>
  <si>
    <t xml:space="preserve">Tenant audit log allows UPDATE/DELETE under FOR ALL policy</t>
  </si>
  <si>
    <t xml:space="preserve">DBT-002</t>
  </si>
  <si>
    <t xml:space="preserve">Three-layer LLM cascade with scattered failover</t>
  </si>
  <si>
    <t xml:space="preserve">DBT-009</t>
  </si>
  <si>
    <t xml:space="preserve">KEK rotation story missing from #574</t>
  </si>
  <si>
    <t xml:space="preserve">DBT-007</t>
  </si>
  <si>
    <t xml:space="preserve">PII sanitizer not portable to mira-hub</t>
  </si>
  <si>
    <t xml:space="preserve">DBT-004</t>
  </si>
  <si>
    <t xml:space="preserve">15+ scattered timeout literals</t>
  </si>
  <si>
    <t xml:space="preserve">Module</t>
  </si>
  <si>
    <t xml:space="preserve">File anchor</t>
  </si>
  <si>
    <t xml:space="preserve">Category</t>
  </si>
  <si>
    <t xml:space="preserve">Impact</t>
  </si>
  <si>
    <t xml:space="preserve">Risk</t>
  </si>
  <si>
    <t xml:space="preserve">Why it matters</t>
  </si>
  <si>
    <t xml:space="preserve">Concrete fix</t>
  </si>
  <si>
    <t xml:space="preserve">DBT-001</t>
  </si>
  <si>
    <t xml:space="preserve">Supervisor god object</t>
  </si>
  <si>
    <t xml:space="preserve">mira-bots</t>
  </si>
  <si>
    <t xml:space="preserve">shared/engine.py (2531 LOC)</t>
  </si>
  <si>
    <t xml:space="preserve">Architecture</t>
  </si>
  <si>
    <t xml:space="preserve">engine.py mixes FSM, 5 workers, guardrails, fallbacks, work-order formatting, photo persistence in 2531 lines. Adding any feature touches this file. Merge conflicts compound across the parity sprint.</t>
  </si>
  <si>
    <t xml:space="preserve">Extract FSMController, WorkerCoordinator, ResponseFormatter. Eval-gate each step. Schedule before file crosses 3000 lines.</t>
  </si>
  <si>
    <t xml:space="preserve">mira-bots, mira-pipeline</t>
  </si>
  <si>
    <t xml:space="preserve">router.py:289; rag_worker.py:186; pipeline/main.py</t>
  </si>
  <si>
    <t xml:space="preserve">Router.complete() owns one cascade; RAG worker has its own 3-stage pipeline; pipeline wraps engine which calls RAG which calls router. A failover bug fixed in one layer doesn't reach the others.</t>
  </si>
  <si>
    <t xml:space="preserve">Router owns cascade. RAGWorker calls router only. Pipeline calls engine only. Centralize telemetry at router level.</t>
  </si>
  <si>
    <t xml:space="preserve">DBT-003</t>
  </si>
  <si>
    <t xml:space="preserve">Pipeline imports mira-bots via sys.path hack</t>
  </si>
  <si>
    <t xml:space="preserve">mira-pipeline</t>
  </si>
  <si>
    <t xml:space="preserve">mira-pipeline/main.py:32, 1107</t>
  </si>
  <si>
    <t xml:space="preserve">sys.path.insert(0, ...) in two places. No declared dependency. Breaks packaging, deployment isolation, and type checking.</t>
  </si>
  <si>
    <t xml:space="preserve">Package mira-bots/shared as publishable library. Declare in mira-pipeline/requirements.txt. Remove sys.path manipulation.</t>
  </si>
  <si>
    <t xml:space="preserve">router.py 4x; engine.py 2x; nemotron.py; agents/*.py 5x; workers/*.py 3x</t>
  </si>
  <si>
    <t xml:space="preserve">Code</t>
  </si>
  <si>
    <t xml:space="preserve">Timeouts (15/30/60/120s) hardcoded in 15+ httpx.AsyncClient and asyncio.wait_for calls. Provider-degradation incident requires hunting and editing many files.</t>
  </si>
  <si>
    <t xml:space="preserve">shared/config.py with TimeoutPolicy dataclass loaded at startup. All callers reference policy.</t>
  </si>
  <si>
    <t xml:space="preserve">DBT-005</t>
  </si>
  <si>
    <t xml:space="preserve">_PROVIDER_HOURLY_LIMITS hardcoded in class dict</t>
  </si>
  <si>
    <t xml:space="preserve">inference/router.py:218</t>
  </si>
  <si>
    <t xml:space="preserve">Provider call budgets (groq:1800, cerebras:1800, gemini:900, claude:5000) baked into a class dict. Rate-limit incidents require code deploy.</t>
  </si>
  <si>
    <t xml:space="preserve">Load INFERENCE_PROVIDER_LIMITS from Doppler env (JSON or comma-separated). Default to current values.</t>
  </si>
  <si>
    <t xml:space="preserve">DBT-006</t>
  </si>
  <si>
    <t xml:space="preserve">Provider cascade order hardcoded</t>
  </si>
  <si>
    <t xml:space="preserve">inference/router.py:_build_providers</t>
  </si>
  <si>
    <t xml:space="preserve">Provider order Groq -&gt; Cerebras -&gt; Gemini -&gt; Claude is hardcoded. Comments explain historical reordering after Gemini 503s. Future reordering requires another deploy.</t>
  </si>
  <si>
    <t xml:space="preserve">INFERENCE_PROVIDER_ORDER env var (comma-separated). Parse in _build_providers. Default to current order.</t>
  </si>
  <si>
    <t xml:space="preserve">mira-bots, mira-hub</t>
  </si>
  <si>
    <t xml:space="preserve">router.py:42-50 only</t>
  </si>
  <si>
    <t xml:space="preserve">Production IPv4/MAC/serial regex lives in mira-bots router.py. mira-hub asset-chat route has a 3-rule stub. PII can leak into chat responses on the new product surface.</t>
  </si>
  <si>
    <t xml:space="preserve">Port regex to mira-hub/src/lib/pii-sanitizer.ts. Wrap as sanitizeContext(text). Call before LLM dispatch in /api/v1/assets/[id]/chat.</t>
  </si>
  <si>
    <t xml:space="preserve">DBT-008</t>
  </si>
  <si>
    <t xml:space="preserve">libsodium wrapping duplicated</t>
  </si>
  <si>
    <t xml:space="preserve">mira-hub</t>
  </si>
  <si>
    <t xml:space="preserve">lib/llm-keys.ts + lib/webhooks/secret-storage.ts</t>
  </si>
  <si>
    <t xml:space="preserve">Both files independently implement getSodium loader, getKEK validation, nonce concatenation, stub mode. secret-storage.ts already has a TODO(#576) referencing this duplication.</t>
  </si>
  <si>
    <t xml:space="preserve">Extract to mira-hub/src/lib/crypto/secretbox.ts: encryptSecretbox/decryptSecretbox. Both callers update.</t>
  </si>
  <si>
    <t xml:space="preserve">lib/llm-keys.ts (no key_id column)</t>
  </si>
  <si>
    <t xml:space="preserve">If LLM_KEK rotates, every encrypted llm_keys row becomes unreadable. No key_id, no re-encryption migration path. Doing this after launch is a customer-impacting outage.</t>
  </si>
  <si>
    <t xml:space="preserve">Add key_id column referencing KEK version. Re-encryption migration path. Validate hex KEK at module load. Land before storing real customer keys.</t>
  </si>
  <si>
    <t xml:space="preserve">db/migrations/2026-04-24-008-tenants-rls.sql</t>
  </si>
  <si>
    <t xml:space="preserve">FOR ALL policy on tenant_audit_log permits app-role UPDATE/DELETE. SOC 2 CC4.1 / CC7.2 require audit-log immutability. Blocks SOC 2 Type 1 evidence collection.</t>
  </si>
  <si>
    <t xml:space="preserve">Split into FOR INSERT WITH CHECK (tenant_id_match) and FOR SELECT USING (tenant_id_match). No update/delete grant for app role.</t>
  </si>
  <si>
    <t xml:space="preserve">DBT-011</t>
  </si>
  <si>
    <t xml:space="preserve">guardrails.py 986 LOC mixing 5 concerns</t>
  </si>
  <si>
    <t xml:space="preserve">shared/guardrails.py (986 LOC)</t>
  </si>
  <si>
    <t xml:space="preserve">Single module owns SAFETY_KEYWORDS, classify_intent, check_output, resolve_option_selection, strip_mentions, vendor_name_from_text, vendor_support_url. Can't test vendor logic without safety logic.</t>
  </si>
  <si>
    <t xml:space="preserve">Split into intent.py, safety.py, vendors.py, text_cleaning.py, option_resolution.py. Re-export from guardrails/__init__.py for compat.</t>
  </si>
  <si>
    <t xml:space="preserve">DBT-012</t>
  </si>
  <si>
    <t xml:space="preserve">ingest main.py 1621 LOC</t>
  </si>
  <si>
    <t xml:space="preserve">mira-core</t>
  </si>
  <si>
    <t xml:space="preserve">mira-core/mira-ingest/main.py (1621 LOC)</t>
  </si>
  <si>
    <t xml:space="preserve">One 1.6k-line file handles photo ingest, visual search, document KB, Firecrawl, Apify, crawl verification, Reddit benchmark, Telegram notifications. Single point of change.</t>
  </si>
  <si>
    <t xml:space="preserve">Refactor into routes/, pipelines/, services/. Example: routes/photo.py, services/scrape.py, services/verify.py. main.py keeps FastAPI setup only.</t>
  </si>
  <si>
    <t xml:space="preserve">DBT-013</t>
  </si>
  <si>
    <t xml:space="preserve">pipeline main.py 1331 LOC (was ~500 on April 14)</t>
  </si>
  <si>
    <t xml:space="preserve">mira-pipeline/main.py (1331 LOC)</t>
  </si>
  <si>
    <t xml:space="preserve">Pipeline grew 2.6x in 11 days. Mixes chat handlers, ingest helpers, regenerate-rollback logic, attachment download. Will keep absorbing scope if not split.</t>
  </si>
  <si>
    <t xml:space="preserve">Split: chat handlers, ingest helpers, regenerate handler. Move OpenWebUI-specific regenerate logic to engine where FSM lives, not pipeline transport layer.</t>
  </si>
  <si>
    <t xml:space="preserve">DBT-014</t>
  </si>
  <si>
    <t xml:space="preserve">MIME-type classification duplicated across 7 adapters</t>
  </si>
  <si>
    <t xml:space="preserve">telegram/, slack/, teams/, gchat/, email/ chat_adapters</t>
  </si>
  <si>
    <t xml:space="preserve">Each adapter re-implements mime-&gt;kind mapping. _IMAGE_MIMES copied 4+ places. Adding a new mime requires 7 edits.</t>
  </si>
  <si>
    <t xml:space="preserve">shared/chat/mime_utils.py with mime_to_kind(mime: str) -&gt; Literal['image','pdf','other']. All adapters import.</t>
  </si>
  <si>
    <t xml:space="preserve">DBT-015</t>
  </si>
  <si>
    <t xml:space="preserve">Image resize logic duplicated 3x with divergent MAX_VISION_PX</t>
  </si>
  <si>
    <t xml:space="preserve">telegram/; whatsapp/bot.py:76; pipeline/main.py:75</t>
  </si>
  <si>
    <t xml:space="preserve">_resize_for_vision implemented identically in 3+ places. MAX_VISION_PX = 1024 (pipeline) but 512 (whatsapp). Different image quality reaching vision models.</t>
  </si>
  <si>
    <t xml:space="preserve">shared/image_utils.py with resize_for_vision(img, max_px). Single MAX_VISION_PX constant. All callers import.</t>
  </si>
  <si>
    <t xml:space="preserve">DBT-016</t>
  </si>
  <si>
    <t xml:space="preserve">Two adapter abstractions coexist (MIRAAdapter + ChatAdapter Protocol)</t>
  </si>
  <si>
    <t xml:space="preserve">shared/adapters/base.py vs ChatAdapter usages</t>
  </si>
  <si>
    <t xml:space="preserve">Email + WhatsApp extend MIRAAdapter base class. Telegram/Slack/Teams/GChat use ChatAdapter Protocol. Two parallel adapter patterns confuse maintainers.</t>
  </si>
  <si>
    <t xml:space="preserve">Migrate Email + WhatsApp to ChatAdapter Protocol. Deprecate MIRAAdapter. Easier after dormant adapters (DBT-022) are archived.</t>
  </si>
  <si>
    <t xml:space="preserve">DBT-017</t>
  </si>
  <si>
    <t xml:space="preserve">Duplicate cmms_write_work_order + cmms_create_work_order tools</t>
  </si>
  <si>
    <t xml:space="preserve">mira-mcp</t>
  </si>
  <si>
    <t xml:space="preserve">server.py:270 + 300 (both @mcp.tool)</t>
  </si>
  <si>
    <t xml:space="preserve">Both tools registered as MCP tools with identical signatures. cmms_create_work_order delegates to cmms_write_work_order with adapter fallback. Pollutes tool surface.</t>
  </si>
  <si>
    <t xml:space="preserve">Retire cmms_write_work_order. Keep cmms_create_work_order with adapter fallback. Update REST routes.</t>
  </si>
  <si>
    <t xml:space="preserve">DBT-018</t>
  </si>
  <si>
    <t xml:space="preserve">Tool surface bloat: 10 CMMS tools with overlapping intent</t>
  </si>
  <si>
    <t xml:space="preserve">server.py lines 154-595 (10+ @mcp.tool decorators)</t>
  </si>
  <si>
    <t xml:space="preserve">10 CMMS tools (write/create/list/complete WO; list/get assets; list PMs; health; create-from-nameplate). Clients must understand fallback semantics. Prompts bloat.</t>
  </si>
  <si>
    <t xml:space="preserve">Collapse into manage_cmms(action: str, params: dict). Returns union response. Reduces tool-search space ~5x.</t>
  </si>
  <si>
    <t xml:space="preserve">DBT-019</t>
  </si>
  <si>
    <t xml:space="preserve">Schema drift between mcp SQLite and ingest NeonDB chunk shape</t>
  </si>
  <si>
    <t xml:space="preserve">mira-mcp, mira-core</t>
  </si>
  <si>
    <t xml:space="preserve">mcp/server.py:72-115 vs ingest/db/neon.py:345-404</t>
  </si>
  <si>
    <t xml:space="preserve">mira-mcp stores equipment_photos with structured_description JSON. mira-core writes knowledge_entries with isa95_path/equipment_id/data_type. New field on one breaks recall on the other.</t>
  </si>
  <si>
    <t xml:space="preserve">Define KnowledgeChunk dataclass in shared module. Both ingest and recall validate. Document mapping photos -&gt; knowledge_entries.</t>
  </si>
  <si>
    <t xml:space="preserve">DBT-020</t>
  </si>
  <si>
    <t xml:space="preserve">NeonDB migrations as ad-hoc ensure_* functions in app code</t>
  </si>
  <si>
    <t xml:space="preserve">mira-core/mira-ingest/db/neon.py:137-184</t>
  </si>
  <si>
    <t xml:space="preserve">ensure_image_embedding_column, ensure_knowledge_hierarchy_columns called from FastAPI startup. Catch-all Exception. Failures leave DB inconsistent. No audit of what ran.</t>
  </si>
  <si>
    <t xml:space="preserve">Move to db/migrations/ as numbered SQL files. Dedicated runner (Alembic or custom) at container startup. Log each migration outcome.</t>
  </si>
  <si>
    <t xml:space="preserve">DBT-021</t>
  </si>
  <si>
    <t xml:space="preserve">mira-hub missing from CLAUDE.md repo map</t>
  </si>
  <si>
    <t xml:space="preserve">repo-wide</t>
  </si>
  <si>
    <t xml:space="preserve">CLAUDE.md (0 mentions of mira-hub)</t>
  </si>
  <si>
    <t xml:space="preserve">14 in-flight feature branches per pre-merge-review. Module not in CLAUDE.md repo map. Onboarding agents have no signpost. Documentation drift.</t>
  </si>
  <si>
    <t xml:space="preserve">Add mira-hub entry to CLAUDE.md repo map: 'Next.js 15 CMMS rebuild (Atlas migration target). 14 feature branches in parallel. Not yet in main.'</t>
  </si>
  <si>
    <t xml:space="preserve">DBT-022</t>
  </si>
  <si>
    <t xml:space="preserve">Dormant adapter modules still building</t>
  </si>
  <si>
    <t xml:space="preserve">mira-bots/{teams,whatsapp,reddit}/</t>
  </si>
  <si>
    <t xml:space="preserve">Teams + WhatsApp dormant since March (per April 14 elegance audit). Reddit unclear if anyone uses. All still in compose, still build.</t>
  </si>
  <si>
    <t xml:space="preserve">Move to attic/. Comment out of docker-compose. Remove from imports. Restore from git history if Azure/Twilio onboarding ever happens.</t>
  </si>
  <si>
    <t xml:space="preserve">DBT-023</t>
  </si>
  <si>
    <t xml:space="preserve">Elegance-audit cleanups not executed (paperclip, mira_copy, bravo, ignition)</t>
  </si>
  <si>
    <t xml:space="preserve">paperclip/, mira_copy/, bravo/, ignition/</t>
  </si>
  <si>
    <t xml:space="preserve">April 14 elegance audit recommended archiving these. mira-hud and mira-prototype were actioned but these four were not. Dead weight in the repo.</t>
  </si>
  <si>
    <t xml:space="preserve">git checkout -b archive/&lt;dir&gt;-2026-04 -- &lt;dir&gt;; git rm -r &lt;dir&gt;; commit. Document in CLAUDE.md Deferred / Archived table.</t>
  </si>
  <si>
    <t xml:space="preserve">DBT-024</t>
  </si>
  <si>
    <t xml:space="preserve">Sidecar OEM migration: no owner, no ETA</t>
  </si>
  <si>
    <t xml:space="preserve">mira-sidecar</t>
  </si>
  <si>
    <t xml:space="preserve">tools/migrate_sidecar_oem_to_owui.py exists, never executed</t>
  </si>
  <si>
    <t xml:space="preserve">ADR-0008 plans sidecar sunset. 398 OEM chunks must move to Open WebUI KB first. Runbook exists. No tracking issue. No owner. No ETA.</t>
  </si>
  <si>
    <t xml:space="preserve">File issue 'Archive mira-sidecar post-OEM migration'. Assign owner. Set 2026-06-01 target. Run runbook docs/runbooks/sidecar-oem-migration.md.</t>
  </si>
  <si>
    <t xml:space="preserve">DBT-025</t>
  </si>
  <si>
    <t xml:space="preserve">known-issues.md stale on web cutover</t>
  </si>
  <si>
    <t xml:space="preserve">docs</t>
  </si>
  <si>
    <t xml:space="preserve">known-issues.md L17 vs mira-web/src/lib/mira-chat.ts:11</t>
  </si>
  <si>
    <t xml:space="preserve">Doc-Architecture</t>
  </si>
  <si>
    <t xml:space="preserve">known-issues.md says 'mira-web -&gt; mira-pipeline cutover pending'. Verified: mira-chat.ts already calls pipeline:9099. Stale doc misleads agents.</t>
  </si>
  <si>
    <t xml:space="preserve">Delete the bullet from known-issues.md. Add CHANGELOG.md entry: 'mira-web now calls mira-pipeline :9099 (ADR-0008).'</t>
  </si>
  <si>
    <t xml:space="preserve">DBT-026</t>
  </si>
  <si>
    <t xml:space="preserve">39 containers across compose overlays; 9 in mira-core</t>
  </si>
  <si>
    <t xml:space="preserve">docker-compose*.yml</t>
  </si>
  <si>
    <t xml:space="preserve">Per April 14 audit: 39 containers (4 compose topologies). 9 just in mira-core. Cognitive load + 39 healthchecks + 39 failure modes.</t>
  </si>
  <si>
    <t xml:space="preserve">Two compose profiles: 'core' (target 12-15 containers) and 'full' (everything). Long-term elegance bet. XL scoped to multiple sprints.</t>
  </si>
  <si>
    <t xml:space="preserve">DBT-027</t>
  </si>
  <si>
    <t xml:space="preserve">Atlas (mira-cmms) vs mira-hub strategy unclear</t>
  </si>
  <si>
    <t xml:space="preserve">mira-cmms, mira-hub</t>
  </si>
  <si>
    <t xml:space="preserve">both have asset/work-order schemas</t>
  </si>
  <si>
    <t xml:space="preserve">mira-cmms is Atlas (third-party Java/Postgres). mira-hub is parallel Next.js CMMS rebuild with own assets/work-orders/PMs. No ADR defines whether mira-hub replaces, integrates, or coexists.</t>
  </si>
  <si>
    <t xml:space="preserve">Write ADR-0032: 'mira-hub CMMS strategy.' Decide replacement vs integration. Document data-migration path and Atlas sunsetting timeline if applicable.</t>
  </si>
  <si>
    <t xml:space="preserve">DBT-028</t>
  </si>
  <si>
    <t xml:space="preserve">mira-crawler 11.9K LOC mixes KB ingest + GTM marketing</t>
  </si>
  <si>
    <t xml:space="preserve">mira-crawler</t>
  </si>
  <si>
    <t xml:space="preserve">mira-crawler/tasks/* (11+ task files)</t>
  </si>
  <si>
    <t xml:space="preserve">Per April 14 audit: KB ingest tasks (discover, sitemaps, ingest, rss, gdrive) tangled with content-marketing tasks (blog, linkedin, social, content, youtube). Different products in same module.</t>
  </si>
  <si>
    <t xml:space="preserve">Split into mira-crawler (KB ingest) and mira-content (GTM marketing). Separate Celery queues. Long-term.</t>
  </si>
  <si>
    <t xml:space="preserve">Phase 1 - Sprint (next 2 weeks): blast-radius reducers. 11/12 are S-effort. None block parity-sprint merges.</t>
  </si>
  <si>
    <t xml:space="preserve">One-line fix</t>
  </si>
  <si>
    <t xml:space="preserve">Phase 2 - 90-day MVP (through 2026-07-19): structural moves the parity-sprint merges and SOC 2 prep depend on.</t>
  </si>
  <si>
    <t xml:space="preserve">Phase 3 - Post-MVP (Q3+ 2026): big-ticket refactors. L/XL effort. Schedule before files cross next size threshold.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</si>
</sst>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8CBAD"/>
        <bgColor rgb="FFFFE699"/>
      </patternFill>
    </fill>
    <fill>
      <patternFill patternType="solid">
        <fgColor rgb="FFDDEBF7"/>
        <bgColor rgb="FFEDEDED"/>
      </patternFill>
    </fill>
    <fill>
      <patternFill patternType="solid">
        <fgColor rgb="FFFFE699"/>
        <bgColor rgb="FFFFF2CC"/>
      </patternFill>
    </fill>
    <fill>
      <patternFill patternType="solid">
        <fgColor rgb="FFEDEDED"/>
        <bgColor rgb="FFF4F0EC"/>
      </patternFill>
    </fill>
    <fill>
      <patternFill patternType="solid">
        <fgColor rgb="FFFFF2CC"/>
        <bgColor rgb="FFF4F0EC"/>
      </patternFill>
    </fill>
    <fill>
      <patternFill patternType="solid">
        <fgColor rgb="FFF4F0EC"/>
        <bgColor rgb="FFEDEDED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4F0EC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F4F0EC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D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  <c r="D5" s="4" t="s">
        <v>6</v>
      </c>
      <c r="E5" s="4" t="s">
        <v>5</v>
      </c>
    </row>
    <row r="6" customFormat="false" ht="23.85" hidden="false" customHeight="false" outlineLevel="0" collapsed="false">
      <c r="A6" s="5" t="s">
        <v>7</v>
      </c>
      <c r="B6" s="6" t="n">
        <v>4</v>
      </c>
      <c r="D6" s="7" t="s">
        <v>8</v>
      </c>
      <c r="E6" s="6" t="n">
        <v>11</v>
      </c>
    </row>
    <row r="7" customFormat="false" ht="35.05" hidden="false" customHeight="false" outlineLevel="0" collapsed="false">
      <c r="A7" s="8" t="s">
        <v>9</v>
      </c>
      <c r="B7" s="6" t="n">
        <v>9</v>
      </c>
      <c r="D7" s="9" t="s">
        <v>10</v>
      </c>
      <c r="E7" s="6" t="n">
        <v>11</v>
      </c>
    </row>
    <row r="8" customFormat="false" ht="23.85" hidden="false" customHeight="false" outlineLevel="0" collapsed="false">
      <c r="A8" s="10" t="s">
        <v>11</v>
      </c>
      <c r="B8" s="6" t="n">
        <v>14</v>
      </c>
      <c r="D8" s="11" t="s">
        <v>12</v>
      </c>
      <c r="E8" s="6" t="n">
        <v>6</v>
      </c>
    </row>
    <row r="9" customFormat="false" ht="15" hidden="false" customHeight="false" outlineLevel="0" collapsed="false">
      <c r="A9" s="12" t="s">
        <v>13</v>
      </c>
      <c r="B9" s="6" t="n">
        <v>1</v>
      </c>
    </row>
    <row r="12" customFormat="false" ht="15" hidden="false" customHeight="false" outlineLevel="0" collapsed="false">
      <c r="A12" s="3" t="s">
        <v>14</v>
      </c>
    </row>
    <row r="13" customFormat="false" ht="15" hidden="false" customHeight="false" outlineLevel="0" collapsed="false">
      <c r="A13" s="4" t="s">
        <v>15</v>
      </c>
      <c r="B13" s="4" t="s">
        <v>5</v>
      </c>
      <c r="C13" s="4" t="s">
        <v>16</v>
      </c>
    </row>
    <row r="14" customFormat="false" ht="15" hidden="false" customHeight="false" outlineLevel="0" collapsed="false">
      <c r="A14" s="6" t="s">
        <v>17</v>
      </c>
      <c r="B14" s="6" t="n">
        <v>11</v>
      </c>
      <c r="C14" s="6" t="s">
        <v>18</v>
      </c>
    </row>
    <row r="15" customFormat="false" ht="15" hidden="false" customHeight="false" outlineLevel="0" collapsed="false">
      <c r="A15" s="6" t="s">
        <v>19</v>
      </c>
      <c r="B15" s="6" t="n">
        <v>10</v>
      </c>
      <c r="C15" s="6" t="s">
        <v>20</v>
      </c>
    </row>
    <row r="16" customFormat="false" ht="15" hidden="false" customHeight="false" outlineLevel="0" collapsed="false">
      <c r="A16" s="6" t="s">
        <v>21</v>
      </c>
      <c r="B16" s="6" t="n">
        <v>5</v>
      </c>
      <c r="C16" s="6" t="s">
        <v>22</v>
      </c>
    </row>
    <row r="17" customFormat="false" ht="15" hidden="false" customHeight="false" outlineLevel="0" collapsed="false">
      <c r="A17" s="6" t="s">
        <v>23</v>
      </c>
      <c r="B17" s="6" t="n">
        <v>2</v>
      </c>
      <c r="C17" s="6" t="s">
        <v>24</v>
      </c>
    </row>
    <row r="20" customFormat="false" ht="15" hidden="false" customHeight="false" outlineLevel="0" collapsed="false">
      <c r="A20" s="3" t="s">
        <v>25</v>
      </c>
    </row>
    <row r="21" customFormat="false" ht="15" hidden="false" customHeight="false" outlineLevel="0" collapsed="false">
      <c r="A21" s="4" t="s">
        <v>26</v>
      </c>
      <c r="B21" s="4" t="s">
        <v>27</v>
      </c>
      <c r="C21" s="4" t="s">
        <v>4</v>
      </c>
      <c r="D21" s="4" t="s">
        <v>28</v>
      </c>
      <c r="E21" s="4" t="s">
        <v>6</v>
      </c>
    </row>
    <row r="22" customFormat="false" ht="30" hidden="false" customHeight="true" outlineLevel="0" collapsed="false">
      <c r="A22" s="6" t="s">
        <v>29</v>
      </c>
      <c r="B22" s="13" t="s">
        <v>30</v>
      </c>
      <c r="C22" s="5" t="s">
        <v>7</v>
      </c>
      <c r="D22" s="6" t="n">
        <v>50</v>
      </c>
      <c r="E22" s="7" t="s">
        <v>8</v>
      </c>
    </row>
    <row r="23" customFormat="false" ht="30" hidden="false" customHeight="true" outlineLevel="0" collapsed="false">
      <c r="A23" s="6" t="s">
        <v>31</v>
      </c>
      <c r="B23" s="13" t="s">
        <v>32</v>
      </c>
      <c r="C23" s="5" t="s">
        <v>7</v>
      </c>
      <c r="D23" s="6" t="n">
        <v>40</v>
      </c>
      <c r="E23" s="9" t="s">
        <v>10</v>
      </c>
    </row>
    <row r="24" customFormat="false" ht="30" hidden="false" customHeight="true" outlineLevel="0" collapsed="false">
      <c r="A24" s="6" t="s">
        <v>33</v>
      </c>
      <c r="B24" s="13" t="s">
        <v>34</v>
      </c>
      <c r="C24" s="5" t="s">
        <v>7</v>
      </c>
      <c r="D24" s="6" t="n">
        <v>40</v>
      </c>
      <c r="E24" s="9" t="s">
        <v>10</v>
      </c>
    </row>
    <row r="25" customFormat="false" ht="30" hidden="false" customHeight="true" outlineLevel="0" collapsed="false">
      <c r="A25" s="6" t="s">
        <v>35</v>
      </c>
      <c r="B25" s="13" t="s">
        <v>36</v>
      </c>
      <c r="C25" s="8" t="s">
        <v>9</v>
      </c>
      <c r="D25" s="6" t="n">
        <v>36</v>
      </c>
      <c r="E25" s="9" t="s">
        <v>10</v>
      </c>
    </row>
    <row r="26" customFormat="false" ht="30" hidden="false" customHeight="true" outlineLevel="0" collapsed="false">
      <c r="A26" s="6" t="s">
        <v>37</v>
      </c>
      <c r="B26" s="13" t="s">
        <v>38</v>
      </c>
      <c r="C26" s="8" t="s">
        <v>9</v>
      </c>
      <c r="D26" s="6" t="n">
        <v>35</v>
      </c>
      <c r="E26" s="7" t="s">
        <v>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6"/>
    <col collapsed="false" customWidth="true" hidden="false" outlineLevel="0" max="10" min="10" style="0" width="8"/>
    <col collapsed="false" customWidth="true" hidden="false" outlineLevel="0" max="11" min="11" style="0" width="7"/>
    <col collapsed="false" customWidth="true" hidden="false" outlineLevel="0" max="12" min="12" style="0" width="60"/>
    <col collapsed="false" customWidth="true" hidden="false" outlineLevel="0" max="13" min="13" style="0" width="55"/>
  </cols>
  <sheetData>
    <row r="1" customFormat="false" ht="27.75" hidden="false" customHeight="true" outlineLevel="0" collapsed="false">
      <c r="A1" s="14" t="s">
        <v>26</v>
      </c>
      <c r="B1" s="14" t="s">
        <v>27</v>
      </c>
      <c r="C1" s="14" t="s">
        <v>39</v>
      </c>
      <c r="D1" s="14" t="s">
        <v>40</v>
      </c>
      <c r="E1" s="14" t="s">
        <v>41</v>
      </c>
      <c r="F1" s="14" t="s">
        <v>4</v>
      </c>
      <c r="G1" s="14" t="s">
        <v>15</v>
      </c>
      <c r="H1" s="14" t="s">
        <v>42</v>
      </c>
      <c r="I1" s="14" t="s">
        <v>43</v>
      </c>
      <c r="J1" s="14" t="s">
        <v>28</v>
      </c>
      <c r="K1" s="14" t="s">
        <v>6</v>
      </c>
      <c r="L1" s="14" t="s">
        <v>44</v>
      </c>
      <c r="M1" s="14" t="s">
        <v>45</v>
      </c>
    </row>
    <row r="2" customFormat="false" ht="75" hidden="false" customHeight="true" outlineLevel="0" collapsed="false">
      <c r="A2" s="13" t="s">
        <v>46</v>
      </c>
      <c r="B2" s="13" t="s">
        <v>47</v>
      </c>
      <c r="C2" s="13" t="s">
        <v>48</v>
      </c>
      <c r="D2" s="13" t="s">
        <v>49</v>
      </c>
      <c r="E2" s="6" t="s">
        <v>50</v>
      </c>
      <c r="F2" s="5" t="s">
        <v>7</v>
      </c>
      <c r="G2" s="6" t="s">
        <v>21</v>
      </c>
      <c r="H2" s="6" t="n">
        <v>5</v>
      </c>
      <c r="I2" s="6" t="n">
        <v>4</v>
      </c>
      <c r="J2" s="6" t="n">
        <f aca="false">(H2+I2)*(6-IF(G2="S",1,IF(G2="M",2,IF(G2="L",3,5))))</f>
        <v>27</v>
      </c>
      <c r="K2" s="11" t="n">
        <v>3</v>
      </c>
      <c r="L2" s="13" t="s">
        <v>51</v>
      </c>
      <c r="M2" s="13" t="s">
        <v>52</v>
      </c>
    </row>
    <row r="3" customFormat="false" ht="75" hidden="false" customHeight="true" outlineLevel="0" collapsed="false">
      <c r="A3" s="13" t="s">
        <v>31</v>
      </c>
      <c r="B3" s="13" t="s">
        <v>32</v>
      </c>
      <c r="C3" s="13" t="s">
        <v>53</v>
      </c>
      <c r="D3" s="13" t="s">
        <v>54</v>
      </c>
      <c r="E3" s="6" t="s">
        <v>50</v>
      </c>
      <c r="F3" s="5" t="s">
        <v>7</v>
      </c>
      <c r="G3" s="6" t="s">
        <v>19</v>
      </c>
      <c r="H3" s="6" t="n">
        <v>5</v>
      </c>
      <c r="I3" s="6" t="n">
        <v>5</v>
      </c>
      <c r="J3" s="6" t="n">
        <f aca="false">(H3+I3)*(6-IF(G3="S",1,IF(G3="M",2,IF(G3="L",3,5))))</f>
        <v>40</v>
      </c>
      <c r="K3" s="9" t="n">
        <v>2</v>
      </c>
      <c r="L3" s="13" t="s">
        <v>55</v>
      </c>
      <c r="M3" s="13" t="s">
        <v>56</v>
      </c>
    </row>
    <row r="4" customFormat="false" ht="75" hidden="false" customHeight="true" outlineLevel="0" collapsed="false">
      <c r="A4" s="13" t="s">
        <v>57</v>
      </c>
      <c r="B4" s="13" t="s">
        <v>58</v>
      </c>
      <c r="C4" s="13" t="s">
        <v>59</v>
      </c>
      <c r="D4" s="13" t="s">
        <v>60</v>
      </c>
      <c r="E4" s="6" t="s">
        <v>50</v>
      </c>
      <c r="F4" s="8" t="s">
        <v>9</v>
      </c>
      <c r="G4" s="6" t="s">
        <v>19</v>
      </c>
      <c r="H4" s="6" t="n">
        <v>4</v>
      </c>
      <c r="I4" s="6" t="n">
        <v>4</v>
      </c>
      <c r="J4" s="6" t="n">
        <f aca="false">(H4+I4)*(6-IF(G4="S",1,IF(G4="M",2,IF(G4="L",3,5))))</f>
        <v>32</v>
      </c>
      <c r="K4" s="9" t="n">
        <v>2</v>
      </c>
      <c r="L4" s="13" t="s">
        <v>61</v>
      </c>
      <c r="M4" s="13" t="s">
        <v>62</v>
      </c>
    </row>
    <row r="5" customFormat="false" ht="75" hidden="false" customHeight="true" outlineLevel="0" collapsed="false">
      <c r="A5" s="13" t="s">
        <v>37</v>
      </c>
      <c r="B5" s="13" t="s">
        <v>38</v>
      </c>
      <c r="C5" s="13" t="s">
        <v>53</v>
      </c>
      <c r="D5" s="13" t="s">
        <v>63</v>
      </c>
      <c r="E5" s="6" t="s">
        <v>64</v>
      </c>
      <c r="F5" s="8" t="s">
        <v>9</v>
      </c>
      <c r="G5" s="6" t="s">
        <v>17</v>
      </c>
      <c r="H5" s="6" t="n">
        <v>4</v>
      </c>
      <c r="I5" s="6" t="n">
        <v>3</v>
      </c>
      <c r="J5" s="6" t="n">
        <f aca="false">(H5+I5)*(6-IF(G5="S",1,IF(G5="M",2,IF(G5="L",3,5))))</f>
        <v>35</v>
      </c>
      <c r="K5" s="7" t="n">
        <v>1</v>
      </c>
      <c r="L5" s="13" t="s">
        <v>65</v>
      </c>
      <c r="M5" s="13" t="s">
        <v>66</v>
      </c>
    </row>
    <row r="6" customFormat="false" ht="75" hidden="false" customHeight="true" outlineLevel="0" collapsed="false">
      <c r="A6" s="13" t="s">
        <v>67</v>
      </c>
      <c r="B6" s="13" t="s">
        <v>68</v>
      </c>
      <c r="C6" s="13" t="s">
        <v>48</v>
      </c>
      <c r="D6" s="13" t="s">
        <v>69</v>
      </c>
      <c r="E6" s="6" t="s">
        <v>50</v>
      </c>
      <c r="F6" s="8" t="s">
        <v>9</v>
      </c>
      <c r="G6" s="6" t="s">
        <v>17</v>
      </c>
      <c r="H6" s="6" t="n">
        <v>4</v>
      </c>
      <c r="I6" s="6" t="n">
        <v>3</v>
      </c>
      <c r="J6" s="6" t="n">
        <f aca="false">(H6+I6)*(6-IF(G6="S",1,IF(G6="M",2,IF(G6="L",3,5))))</f>
        <v>35</v>
      </c>
      <c r="K6" s="7" t="n">
        <v>1</v>
      </c>
      <c r="L6" s="13" t="s">
        <v>70</v>
      </c>
      <c r="M6" s="13" t="s">
        <v>71</v>
      </c>
    </row>
    <row r="7" customFormat="false" ht="75" hidden="false" customHeight="true" outlineLevel="0" collapsed="false">
      <c r="A7" s="13" t="s">
        <v>72</v>
      </c>
      <c r="B7" s="13" t="s">
        <v>73</v>
      </c>
      <c r="C7" s="13" t="s">
        <v>48</v>
      </c>
      <c r="D7" s="13" t="s">
        <v>74</v>
      </c>
      <c r="E7" s="6" t="s">
        <v>64</v>
      </c>
      <c r="F7" s="10" t="s">
        <v>11</v>
      </c>
      <c r="G7" s="6" t="s">
        <v>17</v>
      </c>
      <c r="H7" s="6" t="n">
        <v>3</v>
      </c>
      <c r="I7" s="6" t="n">
        <v>3</v>
      </c>
      <c r="J7" s="6" t="n">
        <f aca="false">(H7+I7)*(6-IF(G7="S",1,IF(G7="M",2,IF(G7="L",3,5))))</f>
        <v>30</v>
      </c>
      <c r="K7" s="7" t="n">
        <v>1</v>
      </c>
      <c r="L7" s="13" t="s">
        <v>75</v>
      </c>
      <c r="M7" s="13" t="s">
        <v>76</v>
      </c>
    </row>
    <row r="8" customFormat="false" ht="75" hidden="false" customHeight="true" outlineLevel="0" collapsed="false">
      <c r="A8" s="13" t="s">
        <v>35</v>
      </c>
      <c r="B8" s="13" t="s">
        <v>36</v>
      </c>
      <c r="C8" s="13" t="s">
        <v>77</v>
      </c>
      <c r="D8" s="13" t="s">
        <v>78</v>
      </c>
      <c r="E8" s="6" t="s">
        <v>50</v>
      </c>
      <c r="F8" s="8" t="s">
        <v>9</v>
      </c>
      <c r="G8" s="6" t="s">
        <v>19</v>
      </c>
      <c r="H8" s="6" t="n">
        <v>4</v>
      </c>
      <c r="I8" s="6" t="n">
        <v>5</v>
      </c>
      <c r="J8" s="6" t="n">
        <f aca="false">(H8+I8)*(6-IF(G8="S",1,IF(G8="M",2,IF(G8="L",3,5))))</f>
        <v>36</v>
      </c>
      <c r="K8" s="9" t="n">
        <v>2</v>
      </c>
      <c r="L8" s="13" t="s">
        <v>79</v>
      </c>
      <c r="M8" s="13" t="s">
        <v>80</v>
      </c>
    </row>
    <row r="9" customFormat="false" ht="75" hidden="false" customHeight="true" outlineLevel="0" collapsed="false">
      <c r="A9" s="13" t="s">
        <v>81</v>
      </c>
      <c r="B9" s="13" t="s">
        <v>82</v>
      </c>
      <c r="C9" s="13" t="s">
        <v>83</v>
      </c>
      <c r="D9" s="13" t="s">
        <v>84</v>
      </c>
      <c r="E9" s="6" t="s">
        <v>64</v>
      </c>
      <c r="F9" s="10" t="s">
        <v>11</v>
      </c>
      <c r="G9" s="6" t="s">
        <v>19</v>
      </c>
      <c r="H9" s="6" t="n">
        <v>3</v>
      </c>
      <c r="I9" s="6" t="n">
        <v>4</v>
      </c>
      <c r="J9" s="6" t="n">
        <f aca="false">(H9+I9)*(6-IF(G9="S",1,IF(G9="M",2,IF(G9="L",3,5))))</f>
        <v>28</v>
      </c>
      <c r="K9" s="9" t="n">
        <v>2</v>
      </c>
      <c r="L9" s="13" t="s">
        <v>85</v>
      </c>
      <c r="M9" s="13" t="s">
        <v>86</v>
      </c>
    </row>
    <row r="10" customFormat="false" ht="75" hidden="false" customHeight="true" outlineLevel="0" collapsed="false">
      <c r="A10" s="13" t="s">
        <v>33</v>
      </c>
      <c r="B10" s="13" t="s">
        <v>34</v>
      </c>
      <c r="C10" s="13" t="s">
        <v>83</v>
      </c>
      <c r="D10" s="13" t="s">
        <v>87</v>
      </c>
      <c r="E10" s="6" t="s">
        <v>50</v>
      </c>
      <c r="F10" s="5" t="s">
        <v>7</v>
      </c>
      <c r="G10" s="6" t="s">
        <v>19</v>
      </c>
      <c r="H10" s="6" t="n">
        <v>5</v>
      </c>
      <c r="I10" s="6" t="n">
        <v>5</v>
      </c>
      <c r="J10" s="6" t="n">
        <f aca="false">(H10+I10)*(6-IF(G10="S",1,IF(G10="M",2,IF(G10="L",3,5))))</f>
        <v>40</v>
      </c>
      <c r="K10" s="9" t="n">
        <v>2</v>
      </c>
      <c r="L10" s="13" t="s">
        <v>88</v>
      </c>
      <c r="M10" s="13" t="s">
        <v>89</v>
      </c>
    </row>
    <row r="11" customFormat="false" ht="75" hidden="false" customHeight="true" outlineLevel="0" collapsed="false">
      <c r="A11" s="13" t="s">
        <v>29</v>
      </c>
      <c r="B11" s="13" t="s">
        <v>30</v>
      </c>
      <c r="C11" s="13" t="s">
        <v>83</v>
      </c>
      <c r="D11" s="13" t="s">
        <v>90</v>
      </c>
      <c r="E11" s="6" t="s">
        <v>50</v>
      </c>
      <c r="F11" s="5" t="s">
        <v>7</v>
      </c>
      <c r="G11" s="6" t="s">
        <v>17</v>
      </c>
      <c r="H11" s="6" t="n">
        <v>5</v>
      </c>
      <c r="I11" s="6" t="n">
        <v>5</v>
      </c>
      <c r="J11" s="6" t="n">
        <f aca="false">(H11+I11)*(6-IF(G11="S",1,IF(G11="M",2,IF(G11="L",3,5))))</f>
        <v>50</v>
      </c>
      <c r="K11" s="7" t="n">
        <v>1</v>
      </c>
      <c r="L11" s="13" t="s">
        <v>91</v>
      </c>
      <c r="M11" s="13" t="s">
        <v>92</v>
      </c>
    </row>
    <row r="12" customFormat="false" ht="75" hidden="false" customHeight="true" outlineLevel="0" collapsed="false">
      <c r="A12" s="13" t="s">
        <v>93</v>
      </c>
      <c r="B12" s="13" t="s">
        <v>94</v>
      </c>
      <c r="C12" s="13" t="s">
        <v>48</v>
      </c>
      <c r="D12" s="13" t="s">
        <v>95</v>
      </c>
      <c r="E12" s="6" t="s">
        <v>50</v>
      </c>
      <c r="F12" s="10" t="s">
        <v>11</v>
      </c>
      <c r="G12" s="6" t="s">
        <v>21</v>
      </c>
      <c r="H12" s="6" t="n">
        <v>3</v>
      </c>
      <c r="I12" s="6" t="n">
        <v>3</v>
      </c>
      <c r="J12" s="6" t="n">
        <f aca="false">(H12+I12)*(6-IF(G12="S",1,IF(G12="M",2,IF(G12="L",3,5))))</f>
        <v>18</v>
      </c>
      <c r="K12" s="11" t="n">
        <v>3</v>
      </c>
      <c r="L12" s="13" t="s">
        <v>96</v>
      </c>
      <c r="M12" s="13" t="s">
        <v>97</v>
      </c>
    </row>
    <row r="13" customFormat="false" ht="75" hidden="false" customHeight="true" outlineLevel="0" collapsed="false">
      <c r="A13" s="13" t="s">
        <v>98</v>
      </c>
      <c r="B13" s="13" t="s">
        <v>99</v>
      </c>
      <c r="C13" s="13" t="s">
        <v>100</v>
      </c>
      <c r="D13" s="13" t="s">
        <v>101</v>
      </c>
      <c r="E13" s="6" t="s">
        <v>50</v>
      </c>
      <c r="F13" s="10" t="s">
        <v>11</v>
      </c>
      <c r="G13" s="6" t="s">
        <v>21</v>
      </c>
      <c r="H13" s="6" t="n">
        <v>3</v>
      </c>
      <c r="I13" s="6" t="n">
        <v>3</v>
      </c>
      <c r="J13" s="6" t="n">
        <f aca="false">(H13+I13)*(6-IF(G13="S",1,IF(G13="M",2,IF(G13="L",3,5))))</f>
        <v>18</v>
      </c>
      <c r="K13" s="11" t="n">
        <v>3</v>
      </c>
      <c r="L13" s="13" t="s">
        <v>102</v>
      </c>
      <c r="M13" s="13" t="s">
        <v>103</v>
      </c>
    </row>
    <row r="14" customFormat="false" ht="75" hidden="false" customHeight="true" outlineLevel="0" collapsed="false">
      <c r="A14" s="13" t="s">
        <v>104</v>
      </c>
      <c r="B14" s="13" t="s">
        <v>105</v>
      </c>
      <c r="C14" s="13" t="s">
        <v>59</v>
      </c>
      <c r="D14" s="13" t="s">
        <v>106</v>
      </c>
      <c r="E14" s="6" t="s">
        <v>64</v>
      </c>
      <c r="F14" s="10" t="s">
        <v>11</v>
      </c>
      <c r="G14" s="6" t="s">
        <v>19</v>
      </c>
      <c r="H14" s="6" t="n">
        <v>3</v>
      </c>
      <c r="I14" s="6" t="n">
        <v>3</v>
      </c>
      <c r="J14" s="6" t="n">
        <f aca="false">(H14+I14)*(6-IF(G14="S",1,IF(G14="M",2,IF(G14="L",3,5))))</f>
        <v>24</v>
      </c>
      <c r="K14" s="9" t="n">
        <v>2</v>
      </c>
      <c r="L14" s="13" t="s">
        <v>107</v>
      </c>
      <c r="M14" s="13" t="s">
        <v>108</v>
      </c>
    </row>
    <row r="15" customFormat="false" ht="75" hidden="false" customHeight="true" outlineLevel="0" collapsed="false">
      <c r="A15" s="13" t="s">
        <v>109</v>
      </c>
      <c r="B15" s="13" t="s">
        <v>110</v>
      </c>
      <c r="C15" s="13" t="s">
        <v>48</v>
      </c>
      <c r="D15" s="13" t="s">
        <v>111</v>
      </c>
      <c r="E15" s="6" t="s">
        <v>64</v>
      </c>
      <c r="F15" s="10" t="s">
        <v>11</v>
      </c>
      <c r="G15" s="6" t="s">
        <v>17</v>
      </c>
      <c r="H15" s="6" t="n">
        <v>3</v>
      </c>
      <c r="I15" s="6" t="n">
        <v>2</v>
      </c>
      <c r="J15" s="6" t="n">
        <f aca="false">(H15+I15)*(6-IF(G15="S",1,IF(G15="M",2,IF(G15="L",3,5))))</f>
        <v>25</v>
      </c>
      <c r="K15" s="7" t="n">
        <v>1</v>
      </c>
      <c r="L15" s="13" t="s">
        <v>112</v>
      </c>
      <c r="M15" s="13" t="s">
        <v>113</v>
      </c>
    </row>
    <row r="16" customFormat="false" ht="75" hidden="false" customHeight="true" outlineLevel="0" collapsed="false">
      <c r="A16" s="13" t="s">
        <v>114</v>
      </c>
      <c r="B16" s="13" t="s">
        <v>115</v>
      </c>
      <c r="C16" s="13" t="s">
        <v>53</v>
      </c>
      <c r="D16" s="13" t="s">
        <v>116</v>
      </c>
      <c r="E16" s="6" t="s">
        <v>64</v>
      </c>
      <c r="F16" s="10" t="s">
        <v>11</v>
      </c>
      <c r="G16" s="6" t="s">
        <v>17</v>
      </c>
      <c r="H16" s="6" t="n">
        <v>3</v>
      </c>
      <c r="I16" s="6" t="n">
        <v>2</v>
      </c>
      <c r="J16" s="6" t="n">
        <f aca="false">(H16+I16)*(6-IF(G16="S",1,IF(G16="M",2,IF(G16="L",3,5))))</f>
        <v>25</v>
      </c>
      <c r="K16" s="7" t="n">
        <v>1</v>
      </c>
      <c r="L16" s="13" t="s">
        <v>117</v>
      </c>
      <c r="M16" s="13" t="s">
        <v>118</v>
      </c>
    </row>
    <row r="17" customFormat="false" ht="75" hidden="false" customHeight="true" outlineLevel="0" collapsed="false">
      <c r="A17" s="13" t="s">
        <v>119</v>
      </c>
      <c r="B17" s="13" t="s">
        <v>120</v>
      </c>
      <c r="C17" s="13" t="s">
        <v>48</v>
      </c>
      <c r="D17" s="13" t="s">
        <v>121</v>
      </c>
      <c r="E17" s="6" t="s">
        <v>50</v>
      </c>
      <c r="F17" s="10" t="s">
        <v>11</v>
      </c>
      <c r="G17" s="6" t="s">
        <v>19</v>
      </c>
      <c r="H17" s="6" t="n">
        <v>3</v>
      </c>
      <c r="I17" s="6" t="n">
        <v>2</v>
      </c>
      <c r="J17" s="6" t="n">
        <f aca="false">(H17+I17)*(6-IF(G17="S",1,IF(G17="M",2,IF(G17="L",3,5))))</f>
        <v>20</v>
      </c>
      <c r="K17" s="11" t="n">
        <v>3</v>
      </c>
      <c r="L17" s="13" t="s">
        <v>122</v>
      </c>
      <c r="M17" s="13" t="s">
        <v>123</v>
      </c>
    </row>
    <row r="18" customFormat="false" ht="75" hidden="false" customHeight="true" outlineLevel="0" collapsed="false">
      <c r="A18" s="13" t="s">
        <v>124</v>
      </c>
      <c r="B18" s="13" t="s">
        <v>125</v>
      </c>
      <c r="C18" s="13" t="s">
        <v>126</v>
      </c>
      <c r="D18" s="13" t="s">
        <v>127</v>
      </c>
      <c r="E18" s="6" t="s">
        <v>64</v>
      </c>
      <c r="F18" s="8" t="s">
        <v>9</v>
      </c>
      <c r="G18" s="6" t="s">
        <v>17</v>
      </c>
      <c r="H18" s="6" t="n">
        <v>4</v>
      </c>
      <c r="I18" s="6" t="n">
        <v>3</v>
      </c>
      <c r="J18" s="6" t="n">
        <f aca="false">(H18+I18)*(6-IF(G18="S",1,IF(G18="M",2,IF(G18="L",3,5))))</f>
        <v>35</v>
      </c>
      <c r="K18" s="7" t="n">
        <v>1</v>
      </c>
      <c r="L18" s="13" t="s">
        <v>128</v>
      </c>
      <c r="M18" s="13" t="s">
        <v>129</v>
      </c>
    </row>
    <row r="19" customFormat="false" ht="75" hidden="false" customHeight="true" outlineLevel="0" collapsed="false">
      <c r="A19" s="13" t="s">
        <v>130</v>
      </c>
      <c r="B19" s="13" t="s">
        <v>131</v>
      </c>
      <c r="C19" s="13" t="s">
        <v>126</v>
      </c>
      <c r="D19" s="13" t="s">
        <v>132</v>
      </c>
      <c r="E19" s="6" t="s">
        <v>50</v>
      </c>
      <c r="F19" s="10" t="s">
        <v>11</v>
      </c>
      <c r="G19" s="6" t="s">
        <v>19</v>
      </c>
      <c r="H19" s="6" t="n">
        <v>3</v>
      </c>
      <c r="I19" s="6" t="n">
        <v>3</v>
      </c>
      <c r="J19" s="6" t="n">
        <f aca="false">(H19+I19)*(6-IF(G19="S",1,IF(G19="M",2,IF(G19="L",3,5))))</f>
        <v>24</v>
      </c>
      <c r="K19" s="9" t="n">
        <v>2</v>
      </c>
      <c r="L19" s="13" t="s">
        <v>133</v>
      </c>
      <c r="M19" s="13" t="s">
        <v>134</v>
      </c>
    </row>
    <row r="20" customFormat="false" ht="75" hidden="false" customHeight="true" outlineLevel="0" collapsed="false">
      <c r="A20" s="13" t="s">
        <v>135</v>
      </c>
      <c r="B20" s="13" t="s">
        <v>136</v>
      </c>
      <c r="C20" s="13" t="s">
        <v>137</v>
      </c>
      <c r="D20" s="13" t="s">
        <v>138</v>
      </c>
      <c r="E20" s="6" t="s">
        <v>50</v>
      </c>
      <c r="F20" s="8" t="s">
        <v>9</v>
      </c>
      <c r="G20" s="6" t="s">
        <v>21</v>
      </c>
      <c r="H20" s="6" t="n">
        <v>4</v>
      </c>
      <c r="I20" s="6" t="n">
        <v>4</v>
      </c>
      <c r="J20" s="6" t="n">
        <f aca="false">(H20+I20)*(6-IF(G20="S",1,IF(G20="M",2,IF(G20="L",3,5))))</f>
        <v>24</v>
      </c>
      <c r="K20" s="9" t="n">
        <v>2</v>
      </c>
      <c r="L20" s="13" t="s">
        <v>139</v>
      </c>
      <c r="M20" s="13" t="s">
        <v>140</v>
      </c>
    </row>
    <row r="21" customFormat="false" ht="75" hidden="false" customHeight="true" outlineLevel="0" collapsed="false">
      <c r="A21" s="13" t="s">
        <v>141</v>
      </c>
      <c r="B21" s="13" t="s">
        <v>142</v>
      </c>
      <c r="C21" s="13" t="s">
        <v>100</v>
      </c>
      <c r="D21" s="13" t="s">
        <v>143</v>
      </c>
      <c r="E21" s="6" t="s">
        <v>50</v>
      </c>
      <c r="F21" s="8" t="s">
        <v>9</v>
      </c>
      <c r="G21" s="6" t="s">
        <v>19</v>
      </c>
      <c r="H21" s="6" t="n">
        <v>4</v>
      </c>
      <c r="I21" s="6" t="n">
        <v>4</v>
      </c>
      <c r="J21" s="6" t="n">
        <f aca="false">(H21+I21)*(6-IF(G21="S",1,IF(G21="M",2,IF(G21="L",3,5))))</f>
        <v>32</v>
      </c>
      <c r="K21" s="9" t="n">
        <v>2</v>
      </c>
      <c r="L21" s="13" t="s">
        <v>144</v>
      </c>
      <c r="M21" s="13" t="s">
        <v>145</v>
      </c>
    </row>
    <row r="22" customFormat="false" ht="75" hidden="false" customHeight="true" outlineLevel="0" collapsed="false">
      <c r="A22" s="13" t="s">
        <v>146</v>
      </c>
      <c r="B22" s="13" t="s">
        <v>147</v>
      </c>
      <c r="C22" s="13" t="s">
        <v>148</v>
      </c>
      <c r="D22" s="13" t="s">
        <v>149</v>
      </c>
      <c r="E22" s="6" t="s">
        <v>50</v>
      </c>
      <c r="F22" s="8" t="s">
        <v>9</v>
      </c>
      <c r="G22" s="6" t="s">
        <v>17</v>
      </c>
      <c r="H22" s="6" t="n">
        <v>4</v>
      </c>
      <c r="I22" s="6" t="n">
        <v>3</v>
      </c>
      <c r="J22" s="6" t="n">
        <f aca="false">(H22+I22)*(6-IF(G22="S",1,IF(G22="M",2,IF(G22="L",3,5))))</f>
        <v>35</v>
      </c>
      <c r="K22" s="7" t="n">
        <v>1</v>
      </c>
      <c r="L22" s="13" t="s">
        <v>150</v>
      </c>
      <c r="M22" s="13" t="s">
        <v>151</v>
      </c>
    </row>
    <row r="23" customFormat="false" ht="75" hidden="false" customHeight="true" outlineLevel="0" collapsed="false">
      <c r="A23" s="13" t="s">
        <v>152</v>
      </c>
      <c r="B23" s="13" t="s">
        <v>153</v>
      </c>
      <c r="C23" s="13" t="s">
        <v>48</v>
      </c>
      <c r="D23" s="13" t="s">
        <v>154</v>
      </c>
      <c r="E23" s="6" t="s">
        <v>50</v>
      </c>
      <c r="F23" s="10" t="s">
        <v>11</v>
      </c>
      <c r="G23" s="6" t="s">
        <v>17</v>
      </c>
      <c r="H23" s="6" t="n">
        <v>3</v>
      </c>
      <c r="I23" s="6" t="n">
        <v>2</v>
      </c>
      <c r="J23" s="6" t="n">
        <f aca="false">(H23+I23)*(6-IF(G23="S",1,IF(G23="M",2,IF(G23="L",3,5))))</f>
        <v>25</v>
      </c>
      <c r="K23" s="7" t="n">
        <v>1</v>
      </c>
      <c r="L23" s="13" t="s">
        <v>155</v>
      </c>
      <c r="M23" s="13" t="s">
        <v>156</v>
      </c>
    </row>
    <row r="24" customFormat="false" ht="75" hidden="false" customHeight="true" outlineLevel="0" collapsed="false">
      <c r="A24" s="13" t="s">
        <v>157</v>
      </c>
      <c r="B24" s="13" t="s">
        <v>158</v>
      </c>
      <c r="C24" s="13" t="s">
        <v>148</v>
      </c>
      <c r="D24" s="13" t="s">
        <v>159</v>
      </c>
      <c r="E24" s="6" t="s">
        <v>50</v>
      </c>
      <c r="F24" s="10" t="s">
        <v>11</v>
      </c>
      <c r="G24" s="6" t="s">
        <v>17</v>
      </c>
      <c r="H24" s="6" t="n">
        <v>3</v>
      </c>
      <c r="I24" s="6" t="n">
        <v>2</v>
      </c>
      <c r="J24" s="6" t="n">
        <f aca="false">(H24+I24)*(6-IF(G24="S",1,IF(G24="M",2,IF(G24="L",3,5))))</f>
        <v>25</v>
      </c>
      <c r="K24" s="7" t="n">
        <v>1</v>
      </c>
      <c r="L24" s="13" t="s">
        <v>160</v>
      </c>
      <c r="M24" s="13" t="s">
        <v>161</v>
      </c>
    </row>
    <row r="25" customFormat="false" ht="75" hidden="false" customHeight="true" outlineLevel="0" collapsed="false">
      <c r="A25" s="13" t="s">
        <v>162</v>
      </c>
      <c r="B25" s="13" t="s">
        <v>163</v>
      </c>
      <c r="C25" s="13" t="s">
        <v>164</v>
      </c>
      <c r="D25" s="13" t="s">
        <v>165</v>
      </c>
      <c r="E25" s="6" t="s">
        <v>50</v>
      </c>
      <c r="F25" s="10" t="s">
        <v>11</v>
      </c>
      <c r="G25" s="6" t="s">
        <v>21</v>
      </c>
      <c r="H25" s="6" t="n">
        <v>3</v>
      </c>
      <c r="I25" s="6" t="n">
        <v>3</v>
      </c>
      <c r="J25" s="6" t="n">
        <f aca="false">(H25+I25)*(6-IF(G25="S",1,IF(G25="M",2,IF(G25="L",3,5))))</f>
        <v>18</v>
      </c>
      <c r="K25" s="9" t="n">
        <v>2</v>
      </c>
      <c r="L25" s="13" t="s">
        <v>166</v>
      </c>
      <c r="M25" s="13" t="s">
        <v>167</v>
      </c>
    </row>
    <row r="26" customFormat="false" ht="75" hidden="false" customHeight="true" outlineLevel="0" collapsed="false">
      <c r="A26" s="13" t="s">
        <v>168</v>
      </c>
      <c r="B26" s="13" t="s">
        <v>169</v>
      </c>
      <c r="C26" s="13" t="s">
        <v>170</v>
      </c>
      <c r="D26" s="13" t="s">
        <v>171</v>
      </c>
      <c r="E26" s="6" t="s">
        <v>172</v>
      </c>
      <c r="F26" s="12" t="s">
        <v>13</v>
      </c>
      <c r="G26" s="6" t="s">
        <v>17</v>
      </c>
      <c r="H26" s="6" t="n">
        <v>2</v>
      </c>
      <c r="I26" s="6" t="n">
        <v>2</v>
      </c>
      <c r="J26" s="6" t="n">
        <f aca="false">(H26+I26)*(6-IF(G26="S",1,IF(G26="M",2,IF(G26="L",3,5))))</f>
        <v>20</v>
      </c>
      <c r="K26" s="7" t="n">
        <v>1</v>
      </c>
      <c r="L26" s="13" t="s">
        <v>173</v>
      </c>
      <c r="M26" s="13" t="s">
        <v>174</v>
      </c>
    </row>
    <row r="27" customFormat="false" ht="75" hidden="false" customHeight="true" outlineLevel="0" collapsed="false">
      <c r="A27" s="13" t="s">
        <v>175</v>
      </c>
      <c r="B27" s="13" t="s">
        <v>176</v>
      </c>
      <c r="C27" s="13" t="s">
        <v>148</v>
      </c>
      <c r="D27" s="13" t="s">
        <v>177</v>
      </c>
      <c r="E27" s="6" t="s">
        <v>50</v>
      </c>
      <c r="F27" s="10" t="s">
        <v>11</v>
      </c>
      <c r="G27" s="6" t="s">
        <v>23</v>
      </c>
      <c r="H27" s="6" t="n">
        <v>3</v>
      </c>
      <c r="I27" s="6" t="n">
        <v>3</v>
      </c>
      <c r="J27" s="6" t="n">
        <f aca="false">(H27+I27)*(6-IF(G27="S",1,IF(G27="M",2,IF(G27="L",3,5))))</f>
        <v>6</v>
      </c>
      <c r="K27" s="11" t="n">
        <v>3</v>
      </c>
      <c r="L27" s="13" t="s">
        <v>178</v>
      </c>
      <c r="M27" s="13" t="s">
        <v>179</v>
      </c>
    </row>
    <row r="28" customFormat="false" ht="75" hidden="false" customHeight="true" outlineLevel="0" collapsed="false">
      <c r="A28" s="13" t="s">
        <v>180</v>
      </c>
      <c r="B28" s="13" t="s">
        <v>181</v>
      </c>
      <c r="C28" s="13" t="s">
        <v>182</v>
      </c>
      <c r="D28" s="13" t="s">
        <v>183</v>
      </c>
      <c r="E28" s="6" t="s">
        <v>50</v>
      </c>
      <c r="F28" s="8" t="s">
        <v>9</v>
      </c>
      <c r="G28" s="6" t="s">
        <v>19</v>
      </c>
      <c r="H28" s="6" t="n">
        <v>4</v>
      </c>
      <c r="I28" s="6" t="n">
        <v>4</v>
      </c>
      <c r="J28" s="6" t="n">
        <f aca="false">(H28+I28)*(6-IF(G28="S",1,IF(G28="M",2,IF(G28="L",3,5))))</f>
        <v>32</v>
      </c>
      <c r="K28" s="9" t="n">
        <v>2</v>
      </c>
      <c r="L28" s="13" t="s">
        <v>184</v>
      </c>
      <c r="M28" s="13" t="s">
        <v>185</v>
      </c>
    </row>
    <row r="29" customFormat="false" ht="75" hidden="false" customHeight="true" outlineLevel="0" collapsed="false">
      <c r="A29" s="13" t="s">
        <v>186</v>
      </c>
      <c r="B29" s="13" t="s">
        <v>187</v>
      </c>
      <c r="C29" s="13" t="s">
        <v>188</v>
      </c>
      <c r="D29" s="13" t="s">
        <v>189</v>
      </c>
      <c r="E29" s="6" t="s">
        <v>50</v>
      </c>
      <c r="F29" s="10" t="s">
        <v>11</v>
      </c>
      <c r="G29" s="6" t="s">
        <v>23</v>
      </c>
      <c r="H29" s="6" t="n">
        <v>3</v>
      </c>
      <c r="I29" s="6" t="n">
        <v>3</v>
      </c>
      <c r="J29" s="6" t="n">
        <f aca="false">(H29+I29)*(6-IF(G29="S",1,IF(G29="M",2,IF(G29="L",3,5))))</f>
        <v>6</v>
      </c>
      <c r="K29" s="11" t="n">
        <v>3</v>
      </c>
      <c r="L29" s="13" t="s">
        <v>190</v>
      </c>
      <c r="M29" s="13" t="s">
        <v>191</v>
      </c>
    </row>
  </sheetData>
  <autoFilter ref="A1:M29"/>
  <conditionalFormatting sqref="J2:J29">
    <cfRule type="cellIs" priority="2" operator="greaterThanOrEqual" aboveAverage="0" equalAverage="0" bottom="0" percent="0" rank="0" text="" dxfId="11">
      <formula>35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60"/>
  </cols>
  <sheetData>
    <row r="1" customFormat="false" ht="30" hidden="false" customHeight="true" outlineLevel="0" collapsed="false">
      <c r="A1" s="15" t="s">
        <v>192</v>
      </c>
      <c r="B1" s="15"/>
      <c r="C1" s="15"/>
      <c r="D1" s="15"/>
      <c r="E1" s="15"/>
      <c r="F1" s="15"/>
    </row>
    <row r="3" customFormat="false" ht="24" hidden="false" customHeight="true" outlineLevel="0" collapsed="false">
      <c r="A3" s="14" t="s">
        <v>26</v>
      </c>
      <c r="B3" s="14" t="s">
        <v>27</v>
      </c>
      <c r="C3" s="14" t="s">
        <v>4</v>
      </c>
      <c r="D3" s="14" t="s">
        <v>15</v>
      </c>
      <c r="E3" s="14" t="s">
        <v>28</v>
      </c>
      <c r="F3" s="14" t="s">
        <v>193</v>
      </c>
    </row>
    <row r="4" customFormat="false" ht="49.5" hidden="false" customHeight="true" outlineLevel="0" collapsed="false">
      <c r="A4" s="6" t="s">
        <v>29</v>
      </c>
      <c r="B4" s="13" t="s">
        <v>30</v>
      </c>
      <c r="C4" s="5" t="s">
        <v>7</v>
      </c>
      <c r="D4" s="6" t="s">
        <v>17</v>
      </c>
      <c r="E4" s="6" t="n">
        <v>50</v>
      </c>
      <c r="F4" s="13" t="s">
        <v>92</v>
      </c>
    </row>
    <row r="5" customFormat="false" ht="49.5" hidden="false" customHeight="true" outlineLevel="0" collapsed="false">
      <c r="A5" s="6" t="s">
        <v>37</v>
      </c>
      <c r="B5" s="13" t="s">
        <v>38</v>
      </c>
      <c r="C5" s="8" t="s">
        <v>9</v>
      </c>
      <c r="D5" s="6" t="s">
        <v>17</v>
      </c>
      <c r="E5" s="6" t="n">
        <v>35</v>
      </c>
      <c r="F5" s="13" t="s">
        <v>66</v>
      </c>
    </row>
    <row r="6" customFormat="false" ht="49.5" hidden="false" customHeight="true" outlineLevel="0" collapsed="false">
      <c r="A6" s="6" t="s">
        <v>67</v>
      </c>
      <c r="B6" s="13" t="s">
        <v>68</v>
      </c>
      <c r="C6" s="8" t="s">
        <v>9</v>
      </c>
      <c r="D6" s="6" t="s">
        <v>17</v>
      </c>
      <c r="E6" s="6" t="n">
        <v>35</v>
      </c>
      <c r="F6" s="13" t="s">
        <v>71</v>
      </c>
    </row>
    <row r="7" customFormat="false" ht="49.5" hidden="false" customHeight="true" outlineLevel="0" collapsed="false">
      <c r="A7" s="6" t="s">
        <v>124</v>
      </c>
      <c r="B7" s="13" t="s">
        <v>125</v>
      </c>
      <c r="C7" s="8" t="s">
        <v>9</v>
      </c>
      <c r="D7" s="6" t="s">
        <v>17</v>
      </c>
      <c r="E7" s="6" t="n">
        <v>35</v>
      </c>
      <c r="F7" s="13" t="s">
        <v>129</v>
      </c>
    </row>
    <row r="8" customFormat="false" ht="49.5" hidden="false" customHeight="true" outlineLevel="0" collapsed="false">
      <c r="A8" s="6" t="s">
        <v>146</v>
      </c>
      <c r="B8" s="13" t="s">
        <v>147</v>
      </c>
      <c r="C8" s="8" t="s">
        <v>9</v>
      </c>
      <c r="D8" s="6" t="s">
        <v>17</v>
      </c>
      <c r="E8" s="6" t="n">
        <v>35</v>
      </c>
      <c r="F8" s="13" t="s">
        <v>151</v>
      </c>
    </row>
    <row r="9" customFormat="false" ht="49.5" hidden="false" customHeight="true" outlineLevel="0" collapsed="false">
      <c r="A9" s="6" t="s">
        <v>72</v>
      </c>
      <c r="B9" s="13" t="s">
        <v>73</v>
      </c>
      <c r="C9" s="10" t="s">
        <v>11</v>
      </c>
      <c r="D9" s="6" t="s">
        <v>17</v>
      </c>
      <c r="E9" s="6" t="n">
        <v>30</v>
      </c>
      <c r="F9" s="13" t="s">
        <v>76</v>
      </c>
    </row>
    <row r="10" customFormat="false" ht="49.5" hidden="false" customHeight="true" outlineLevel="0" collapsed="false">
      <c r="A10" s="6" t="s">
        <v>109</v>
      </c>
      <c r="B10" s="13" t="s">
        <v>110</v>
      </c>
      <c r="C10" s="10" t="s">
        <v>11</v>
      </c>
      <c r="D10" s="6" t="s">
        <v>17</v>
      </c>
      <c r="E10" s="6" t="n">
        <v>25</v>
      </c>
      <c r="F10" s="13" t="s">
        <v>113</v>
      </c>
    </row>
    <row r="11" customFormat="false" ht="49.5" hidden="false" customHeight="true" outlineLevel="0" collapsed="false">
      <c r="A11" s="6" t="s">
        <v>114</v>
      </c>
      <c r="B11" s="13" t="s">
        <v>115</v>
      </c>
      <c r="C11" s="10" t="s">
        <v>11</v>
      </c>
      <c r="D11" s="6" t="s">
        <v>17</v>
      </c>
      <c r="E11" s="6" t="n">
        <v>25</v>
      </c>
      <c r="F11" s="13" t="s">
        <v>118</v>
      </c>
    </row>
    <row r="12" customFormat="false" ht="49.5" hidden="false" customHeight="true" outlineLevel="0" collapsed="false">
      <c r="A12" s="6" t="s">
        <v>152</v>
      </c>
      <c r="B12" s="13" t="s">
        <v>153</v>
      </c>
      <c r="C12" s="10" t="s">
        <v>11</v>
      </c>
      <c r="D12" s="6" t="s">
        <v>17</v>
      </c>
      <c r="E12" s="6" t="n">
        <v>25</v>
      </c>
      <c r="F12" s="13" t="s">
        <v>156</v>
      </c>
    </row>
    <row r="13" customFormat="false" ht="49.5" hidden="false" customHeight="true" outlineLevel="0" collapsed="false">
      <c r="A13" s="6" t="s">
        <v>157</v>
      </c>
      <c r="B13" s="13" t="s">
        <v>158</v>
      </c>
      <c r="C13" s="10" t="s">
        <v>11</v>
      </c>
      <c r="D13" s="6" t="s">
        <v>17</v>
      </c>
      <c r="E13" s="6" t="n">
        <v>25</v>
      </c>
      <c r="F13" s="13" t="s">
        <v>161</v>
      </c>
    </row>
    <row r="14" customFormat="false" ht="49.5" hidden="false" customHeight="true" outlineLevel="0" collapsed="false">
      <c r="A14" s="6" t="s">
        <v>168</v>
      </c>
      <c r="B14" s="13" t="s">
        <v>169</v>
      </c>
      <c r="C14" s="12" t="s">
        <v>13</v>
      </c>
      <c r="D14" s="6" t="s">
        <v>17</v>
      </c>
      <c r="E14" s="6" t="n">
        <v>20</v>
      </c>
      <c r="F14" s="13" t="s">
        <v>174</v>
      </c>
    </row>
  </sheetData>
  <autoFilter ref="A3:F14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60"/>
  </cols>
  <sheetData>
    <row r="1" customFormat="false" ht="30" hidden="false" customHeight="true" outlineLevel="0" collapsed="false">
      <c r="A1" s="15" t="s">
        <v>194</v>
      </c>
      <c r="B1" s="15"/>
      <c r="C1" s="15"/>
      <c r="D1" s="15"/>
      <c r="E1" s="15"/>
      <c r="F1" s="15"/>
    </row>
    <row r="3" customFormat="false" ht="24" hidden="false" customHeight="true" outlineLevel="0" collapsed="false">
      <c r="A3" s="14" t="s">
        <v>26</v>
      </c>
      <c r="B3" s="14" t="s">
        <v>27</v>
      </c>
      <c r="C3" s="14" t="s">
        <v>4</v>
      </c>
      <c r="D3" s="14" t="s">
        <v>15</v>
      </c>
      <c r="E3" s="14" t="s">
        <v>28</v>
      </c>
      <c r="F3" s="14" t="s">
        <v>193</v>
      </c>
    </row>
    <row r="4" customFormat="false" ht="49.5" hidden="false" customHeight="true" outlineLevel="0" collapsed="false">
      <c r="A4" s="6" t="s">
        <v>31</v>
      </c>
      <c r="B4" s="13" t="s">
        <v>32</v>
      </c>
      <c r="C4" s="5" t="s">
        <v>7</v>
      </c>
      <c r="D4" s="6" t="s">
        <v>19</v>
      </c>
      <c r="E4" s="6" t="n">
        <v>40</v>
      </c>
      <c r="F4" s="13" t="s">
        <v>56</v>
      </c>
    </row>
    <row r="5" customFormat="false" ht="49.5" hidden="false" customHeight="true" outlineLevel="0" collapsed="false">
      <c r="A5" s="6" t="s">
        <v>33</v>
      </c>
      <c r="B5" s="13" t="s">
        <v>34</v>
      </c>
      <c r="C5" s="5" t="s">
        <v>7</v>
      </c>
      <c r="D5" s="6" t="s">
        <v>19</v>
      </c>
      <c r="E5" s="6" t="n">
        <v>40</v>
      </c>
      <c r="F5" s="13" t="s">
        <v>89</v>
      </c>
    </row>
    <row r="6" customFormat="false" ht="49.5" hidden="false" customHeight="true" outlineLevel="0" collapsed="false">
      <c r="A6" s="6" t="s">
        <v>35</v>
      </c>
      <c r="B6" s="13" t="s">
        <v>36</v>
      </c>
      <c r="C6" s="8" t="s">
        <v>9</v>
      </c>
      <c r="D6" s="6" t="s">
        <v>19</v>
      </c>
      <c r="E6" s="6" t="n">
        <v>36</v>
      </c>
      <c r="F6" s="13" t="s">
        <v>80</v>
      </c>
    </row>
    <row r="7" customFormat="false" ht="49.5" hidden="false" customHeight="true" outlineLevel="0" collapsed="false">
      <c r="A7" s="6" t="s">
        <v>57</v>
      </c>
      <c r="B7" s="13" t="s">
        <v>58</v>
      </c>
      <c r="C7" s="8" t="s">
        <v>9</v>
      </c>
      <c r="D7" s="6" t="s">
        <v>19</v>
      </c>
      <c r="E7" s="6" t="n">
        <v>32</v>
      </c>
      <c r="F7" s="13" t="s">
        <v>62</v>
      </c>
    </row>
    <row r="8" customFormat="false" ht="49.5" hidden="false" customHeight="true" outlineLevel="0" collapsed="false">
      <c r="A8" s="6" t="s">
        <v>141</v>
      </c>
      <c r="B8" s="13" t="s">
        <v>142</v>
      </c>
      <c r="C8" s="8" t="s">
        <v>9</v>
      </c>
      <c r="D8" s="6" t="s">
        <v>19</v>
      </c>
      <c r="E8" s="6" t="n">
        <v>32</v>
      </c>
      <c r="F8" s="13" t="s">
        <v>145</v>
      </c>
    </row>
    <row r="9" customFormat="false" ht="49.5" hidden="false" customHeight="true" outlineLevel="0" collapsed="false">
      <c r="A9" s="6" t="s">
        <v>180</v>
      </c>
      <c r="B9" s="13" t="s">
        <v>181</v>
      </c>
      <c r="C9" s="8" t="s">
        <v>9</v>
      </c>
      <c r="D9" s="6" t="s">
        <v>19</v>
      </c>
      <c r="E9" s="6" t="n">
        <v>32</v>
      </c>
      <c r="F9" s="13" t="s">
        <v>185</v>
      </c>
    </row>
    <row r="10" customFormat="false" ht="49.5" hidden="false" customHeight="true" outlineLevel="0" collapsed="false">
      <c r="A10" s="6" t="s">
        <v>81</v>
      </c>
      <c r="B10" s="13" t="s">
        <v>82</v>
      </c>
      <c r="C10" s="10" t="s">
        <v>11</v>
      </c>
      <c r="D10" s="6" t="s">
        <v>19</v>
      </c>
      <c r="E10" s="6" t="n">
        <v>28</v>
      </c>
      <c r="F10" s="13" t="s">
        <v>86</v>
      </c>
    </row>
    <row r="11" customFormat="false" ht="49.5" hidden="false" customHeight="true" outlineLevel="0" collapsed="false">
      <c r="A11" s="6" t="s">
        <v>104</v>
      </c>
      <c r="B11" s="13" t="s">
        <v>105</v>
      </c>
      <c r="C11" s="10" t="s">
        <v>11</v>
      </c>
      <c r="D11" s="6" t="s">
        <v>19</v>
      </c>
      <c r="E11" s="6" t="n">
        <v>24</v>
      </c>
      <c r="F11" s="13" t="s">
        <v>108</v>
      </c>
    </row>
    <row r="12" customFormat="false" ht="49.5" hidden="false" customHeight="true" outlineLevel="0" collapsed="false">
      <c r="A12" s="6" t="s">
        <v>130</v>
      </c>
      <c r="B12" s="13" t="s">
        <v>131</v>
      </c>
      <c r="C12" s="10" t="s">
        <v>11</v>
      </c>
      <c r="D12" s="6" t="s">
        <v>19</v>
      </c>
      <c r="E12" s="6" t="n">
        <v>24</v>
      </c>
      <c r="F12" s="13" t="s">
        <v>134</v>
      </c>
    </row>
    <row r="13" customFormat="false" ht="49.5" hidden="false" customHeight="true" outlineLevel="0" collapsed="false">
      <c r="A13" s="6" t="s">
        <v>135</v>
      </c>
      <c r="B13" s="13" t="s">
        <v>136</v>
      </c>
      <c r="C13" s="8" t="s">
        <v>9</v>
      </c>
      <c r="D13" s="6" t="s">
        <v>21</v>
      </c>
      <c r="E13" s="6" t="n">
        <v>24</v>
      </c>
      <c r="F13" s="13" t="s">
        <v>140</v>
      </c>
    </row>
    <row r="14" customFormat="false" ht="49.5" hidden="false" customHeight="true" outlineLevel="0" collapsed="false">
      <c r="A14" s="6" t="s">
        <v>162</v>
      </c>
      <c r="B14" s="13" t="s">
        <v>163</v>
      </c>
      <c r="C14" s="10" t="s">
        <v>11</v>
      </c>
      <c r="D14" s="6" t="s">
        <v>21</v>
      </c>
      <c r="E14" s="6" t="n">
        <v>18</v>
      </c>
      <c r="F14" s="13" t="s">
        <v>167</v>
      </c>
    </row>
  </sheetData>
  <autoFilter ref="A3:F14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5" min="4" style="0" width="8"/>
    <col collapsed="false" customWidth="true" hidden="false" outlineLevel="0" max="6" min="6" style="0" width="60"/>
  </cols>
  <sheetData>
    <row r="1" customFormat="false" ht="30" hidden="false" customHeight="true" outlineLevel="0" collapsed="false">
      <c r="A1" s="15" t="s">
        <v>195</v>
      </c>
      <c r="B1" s="15"/>
      <c r="C1" s="15"/>
      <c r="D1" s="15"/>
      <c r="E1" s="15"/>
      <c r="F1" s="15"/>
    </row>
    <row r="3" customFormat="false" ht="24" hidden="false" customHeight="true" outlineLevel="0" collapsed="false">
      <c r="A3" s="14" t="s">
        <v>26</v>
      </c>
      <c r="B3" s="14" t="s">
        <v>27</v>
      </c>
      <c r="C3" s="14" t="s">
        <v>4</v>
      </c>
      <c r="D3" s="14" t="s">
        <v>15</v>
      </c>
      <c r="E3" s="14" t="s">
        <v>28</v>
      </c>
      <c r="F3" s="14" t="s">
        <v>193</v>
      </c>
    </row>
    <row r="4" customFormat="false" ht="49.5" hidden="false" customHeight="true" outlineLevel="0" collapsed="false">
      <c r="A4" s="6" t="s">
        <v>46</v>
      </c>
      <c r="B4" s="13" t="s">
        <v>47</v>
      </c>
      <c r="C4" s="5" t="s">
        <v>7</v>
      </c>
      <c r="D4" s="6" t="s">
        <v>21</v>
      </c>
      <c r="E4" s="6" t="n">
        <v>27</v>
      </c>
      <c r="F4" s="13" t="s">
        <v>52</v>
      </c>
    </row>
    <row r="5" customFormat="false" ht="49.5" hidden="false" customHeight="true" outlineLevel="0" collapsed="false">
      <c r="A5" s="6" t="s">
        <v>119</v>
      </c>
      <c r="B5" s="13" t="s">
        <v>120</v>
      </c>
      <c r="C5" s="10" t="s">
        <v>11</v>
      </c>
      <c r="D5" s="6" t="s">
        <v>19</v>
      </c>
      <c r="E5" s="6" t="n">
        <v>20</v>
      </c>
      <c r="F5" s="13" t="s">
        <v>123</v>
      </c>
    </row>
    <row r="6" customFormat="false" ht="49.5" hidden="false" customHeight="true" outlineLevel="0" collapsed="false">
      <c r="A6" s="6" t="s">
        <v>93</v>
      </c>
      <c r="B6" s="13" t="s">
        <v>94</v>
      </c>
      <c r="C6" s="10" t="s">
        <v>11</v>
      </c>
      <c r="D6" s="6" t="s">
        <v>21</v>
      </c>
      <c r="E6" s="6" t="n">
        <v>18</v>
      </c>
      <c r="F6" s="13" t="s">
        <v>97</v>
      </c>
    </row>
    <row r="7" customFormat="false" ht="49.5" hidden="false" customHeight="true" outlineLevel="0" collapsed="false">
      <c r="A7" s="6" t="s">
        <v>98</v>
      </c>
      <c r="B7" s="13" t="s">
        <v>99</v>
      </c>
      <c r="C7" s="10" t="s">
        <v>11</v>
      </c>
      <c r="D7" s="6" t="s">
        <v>21</v>
      </c>
      <c r="E7" s="6" t="n">
        <v>18</v>
      </c>
      <c r="F7" s="13" t="s">
        <v>103</v>
      </c>
    </row>
    <row r="8" customFormat="false" ht="49.5" hidden="false" customHeight="true" outlineLevel="0" collapsed="false">
      <c r="A8" s="6" t="s">
        <v>175</v>
      </c>
      <c r="B8" s="13" t="s">
        <v>176</v>
      </c>
      <c r="C8" s="10" t="s">
        <v>11</v>
      </c>
      <c r="D8" s="6" t="s">
        <v>23</v>
      </c>
      <c r="E8" s="6" t="n">
        <v>6</v>
      </c>
      <c r="F8" s="13" t="s">
        <v>179</v>
      </c>
    </row>
    <row r="9" customFormat="false" ht="49.5" hidden="false" customHeight="true" outlineLevel="0" collapsed="false">
      <c r="A9" s="6" t="s">
        <v>186</v>
      </c>
      <c r="B9" s="13" t="s">
        <v>187</v>
      </c>
      <c r="C9" s="10" t="s">
        <v>11</v>
      </c>
      <c r="D9" s="6" t="s">
        <v>23</v>
      </c>
      <c r="E9" s="6" t="n">
        <v>6</v>
      </c>
      <c r="F9" s="13" t="s">
        <v>191</v>
      </c>
    </row>
  </sheetData>
  <autoFilter ref="A3:F9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2026-04-25T10:13:44Z</dcterms:created>
  <dc:creator>openpyxl</dc:creator>
  <dc:description/>
  <dc:language>en-US</dc:language>
  <cp:lastModifiedBy/>
  <dcterms:modified xsi:type="dcterms:W3CDTF">2026-04-25T10:13:44Z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